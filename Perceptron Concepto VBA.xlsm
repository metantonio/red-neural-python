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anton\Dropbox\Documentos\"/>
    </mc:Choice>
  </mc:AlternateContent>
  <xr:revisionPtr revIDLastSave="0" documentId="13_ncr:1_{08B8B3BD-FD5A-4308-9BC1-DC446C4A957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  <sheet name="Hoja2" sheetId="2" r:id="rId2"/>
  </sheets>
  <definedNames>
    <definedName name="Ajuste1">Hoja1!$B$43</definedName>
    <definedName name="Ajuste2">Hoja1!$B$44</definedName>
    <definedName name="Ajuste3">Hoja1!$B$45</definedName>
    <definedName name="Ajuste4">Hoja1!$B$46</definedName>
    <definedName name="Bias">Hoja1!$E$19</definedName>
    <definedName name="Derivada1">Hoja1!$B$36</definedName>
    <definedName name="Derivada2">Hoja1!$B$37</definedName>
    <definedName name="Derivada3">Hoja1!$B$38</definedName>
    <definedName name="Derivada4">Hoja1!$B$39</definedName>
    <definedName name="Error1">Hoja1!$D$31</definedName>
    <definedName name="Error2">Hoja1!$D$32</definedName>
    <definedName name="Error3">Hoja1!$D$33</definedName>
    <definedName name="Error4">Hoja1!$D$34</definedName>
    <definedName name="Funcion1">Hoja1!$E$27</definedName>
    <definedName name="Funcion2">Hoja1!$E$28</definedName>
    <definedName name="Funcion3">Hoja1!$E$29</definedName>
    <definedName name="Funcion4">Hoja1!$E$30</definedName>
    <definedName name="Funcion5">Hoja1!$E$54</definedName>
    <definedName name="Input11">Hoja1!$B$6</definedName>
    <definedName name="Input12">Hoja1!$C$6</definedName>
    <definedName name="Input13">Hoja1!$D$6</definedName>
    <definedName name="Input21">Hoja1!$B$7</definedName>
    <definedName name="Input22">Hoja1!$C$7</definedName>
    <definedName name="Input23">Hoja1!$D$7</definedName>
    <definedName name="Input31">Hoja1!$B$8</definedName>
    <definedName name="Input32">Hoja1!$C$8</definedName>
    <definedName name="Input33">Hoja1!$D$8</definedName>
    <definedName name="Input41">Hoja1!$B$9</definedName>
    <definedName name="Input42">Hoja1!$C$9</definedName>
    <definedName name="Input43">Hoja1!$D$9</definedName>
    <definedName name="Input51">Hoja1!$B$13</definedName>
    <definedName name="Input52">Hoja1!$C$13</definedName>
    <definedName name="Input53">Hoja1!$D$13</definedName>
    <definedName name="Output1">Hoja1!$F$6</definedName>
    <definedName name="Output2">Hoja1!$F$7</definedName>
    <definedName name="Output3">Hoja1!$F$8</definedName>
    <definedName name="Output4">Hoja1!$F$9</definedName>
    <definedName name="Peso1">Hoja1!$B$19</definedName>
    <definedName name="Peso2">Hoja1!$B$20</definedName>
    <definedName name="Peso3">Hoja1!$B$21</definedName>
    <definedName name="Sigmoide1">Hoja1!$B$31</definedName>
    <definedName name="Sigmoide2">Hoja1!$B$32</definedName>
    <definedName name="Sigmoide3">Hoja1!$B$33</definedName>
    <definedName name="Sigmoide4">Hoja1!$B$34</definedName>
    <definedName name="Sigmoide5">Hoja1!$L$54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2" l="1"/>
  <c r="B14" i="2"/>
  <c r="B13" i="2"/>
  <c r="B12" i="2"/>
  <c r="B11" i="2"/>
  <c r="B8" i="2"/>
  <c r="B7" i="2"/>
  <c r="B6" i="2"/>
  <c r="B5" i="2"/>
  <c r="B4" i="2"/>
  <c r="F21" i="2"/>
  <c r="E20" i="2"/>
  <c r="D19" i="2"/>
  <c r="C18" i="2"/>
  <c r="F14" i="2"/>
  <c r="E13" i="2"/>
  <c r="D12" i="2"/>
  <c r="C11" i="2"/>
  <c r="G3" i="2"/>
  <c r="F3" i="2"/>
  <c r="E3" i="2"/>
  <c r="D3" i="2"/>
  <c r="C3" i="2"/>
  <c r="F7" i="2"/>
  <c r="E6" i="2"/>
  <c r="D5" i="2"/>
  <c r="C4" i="2"/>
  <c r="E54" i="1" l="1"/>
  <c r="L54" i="1" s="1"/>
  <c r="D25" i="1"/>
  <c r="D24" i="1"/>
  <c r="D23" i="1"/>
  <c r="E27" i="1"/>
  <c r="B31" i="1" l="1"/>
  <c r="D31" i="1" s="1"/>
  <c r="A36" i="1"/>
  <c r="A31" i="1"/>
  <c r="G8" i="2"/>
  <c r="G22" i="2"/>
  <c r="G15" i="2"/>
  <c r="B22" i="2"/>
  <c r="G10" i="2"/>
  <c r="G17" i="2" s="1"/>
  <c r="F10" i="2"/>
  <c r="F17" i="2" s="1"/>
  <c r="E10" i="2"/>
  <c r="E17" i="2" s="1"/>
  <c r="D10" i="2"/>
  <c r="D17" i="2" s="1"/>
  <c r="C10" i="2"/>
  <c r="C17" i="2" s="1"/>
  <c r="B21" i="2"/>
  <c r="B20" i="2"/>
  <c r="B19" i="2"/>
  <c r="B18" i="2"/>
  <c r="E30" i="1"/>
  <c r="E29" i="1"/>
  <c r="E28" i="1"/>
  <c r="B33" i="1" l="1"/>
  <c r="D33" i="1" s="1"/>
  <c r="A38" i="1"/>
  <c r="A33" i="1"/>
  <c r="B34" i="1"/>
  <c r="D34" i="1" s="1"/>
  <c r="A39" i="1"/>
  <c r="A34" i="1"/>
  <c r="B32" i="1"/>
  <c r="D32" i="1" s="1"/>
  <c r="A37" i="1"/>
  <c r="A32" i="1"/>
  <c r="B54" i="1"/>
  <c r="B27" i="1"/>
  <c r="L56" i="1" l="1"/>
  <c r="B39" i="1"/>
  <c r="B46" i="1" s="1"/>
  <c r="B37" i="1"/>
  <c r="B44" i="1" s="1"/>
  <c r="B38" i="1"/>
  <c r="B45" i="1" s="1"/>
  <c r="B36" i="1"/>
  <c r="B43" i="1" s="1"/>
  <c r="D45" i="1" l="1"/>
  <c r="D44" i="1"/>
  <c r="D43" i="1"/>
  <c r="E55" i="1"/>
</calcChain>
</file>

<file path=xl/sharedStrings.xml><?xml version="1.0" encoding="utf-8"?>
<sst xmlns="http://schemas.openxmlformats.org/spreadsheetml/2006/main" count="51" uniqueCount="50">
  <si>
    <t>Perceptrón, Concepto:</t>
  </si>
  <si>
    <t>Sea el problema:</t>
  </si>
  <si>
    <t>Ejemplo 1</t>
  </si>
  <si>
    <t>Ejemplo 2</t>
  </si>
  <si>
    <t>Ejemplo 3</t>
  </si>
  <si>
    <t>Ejemplo 4</t>
  </si>
  <si>
    <t>Inputs</t>
  </si>
  <si>
    <t>Output</t>
  </si>
  <si>
    <t>?</t>
  </si>
  <si>
    <t>Cuál será el output si se agregara un ejemplo 5?</t>
  </si>
  <si>
    <t>Ejemplo 5</t>
  </si>
  <si>
    <t>Φ(x) es la función Sigmoide, será de activación o normalización.</t>
  </si>
  <si>
    <t>w3</t>
  </si>
  <si>
    <t>Para el Ejemplo 1:</t>
  </si>
  <si>
    <t>Error</t>
  </si>
  <si>
    <t>Ajuste de Pesos:</t>
  </si>
  <si>
    <t>Ajuste 1</t>
  </si>
  <si>
    <t>Ajuste 2</t>
  </si>
  <si>
    <t>Ajuste 3</t>
  </si>
  <si>
    <t>Ajuste 4</t>
  </si>
  <si>
    <t>w1</t>
  </si>
  <si>
    <t>w2</t>
  </si>
  <si>
    <t>Actualización de Pesos</t>
  </si>
  <si>
    <t>Backpropagation:</t>
  </si>
  <si>
    <t>Proceso de Entrenamiento</t>
  </si>
  <si>
    <t>Repetir el Entrenamiento N veces hasta que el error sea el requerido.</t>
  </si>
  <si>
    <t>Para repetir el ejercicio desde el inicio pisar:</t>
  </si>
  <si>
    <t>Entrenar lo que hace es copiar los pesos actualizados a la casilla de pesos iniciales.</t>
  </si>
  <si>
    <t>Proceso de Evaluación</t>
  </si>
  <si>
    <t>Se evalúa si queda más cerca de 1 o 0 el resultado.</t>
  </si>
  <si>
    <t>Φejemplo5 (Resultado Perceptron) =</t>
  </si>
  <si>
    <t>error máx =</t>
  </si>
  <si>
    <t>bias</t>
  </si>
  <si>
    <t>X/Y</t>
  </si>
  <si>
    <t>X/Z</t>
  </si>
  <si>
    <t>Y/Z</t>
  </si>
  <si>
    <t>Cantidad de Entrenamientos hechos (épocas) =</t>
  </si>
  <si>
    <t>Ejemplo 1:</t>
  </si>
  <si>
    <r>
      <t>Sean los pesos sinápticos iniciales (w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), valores aleatorios entre (-1,1) al reiniciar el entrenamiento.</t>
    </r>
  </si>
  <si>
    <r>
      <t>w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</si>
  <si>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</si>
  <si>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3=</t>
    </r>
  </si>
  <si>
    <t>x11</t>
  </si>
  <si>
    <t>x21</t>
  </si>
  <si>
    <t>x31</t>
  </si>
  <si>
    <t>(Sólo modificar celdas en amarillo)</t>
  </si>
  <si>
    <t>Normalización o función Sigmoide</t>
  </si>
  <si>
    <t>Derivadas de la sigmoide</t>
  </si>
  <si>
    <t>(Aquí se observan los pesos actualmente usados en la evaluación del ejemplo 5)</t>
  </si>
  <si>
    <t>(más cerca de 0% es mejor)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</si>
</sst>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0.000000"/>
    <numFmt numFmtId="168" formatCode="0.000000000"/>
    <numFmt numFmtId="169" formatCode="0.000%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4" fillId="4" borderId="2" xfId="0" applyFont="1" applyFill="1" applyBorder="1"/>
    <xf numFmtId="0" fontId="4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8" xfId="0" applyFill="1" applyBorder="1"/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0" fontId="4" fillId="4" borderId="2" xfId="0" applyFont="1" applyFill="1" applyBorder="1" applyProtection="1"/>
    <xf numFmtId="0" fontId="4" fillId="4" borderId="3" xfId="0" applyFont="1" applyFill="1" applyBorder="1" applyProtection="1"/>
    <xf numFmtId="0" fontId="0" fillId="4" borderId="3" xfId="0" applyFill="1" applyBorder="1" applyProtection="1"/>
    <xf numFmtId="0" fontId="0" fillId="4" borderId="4" xfId="0" applyFill="1" applyBorder="1" applyProtection="1"/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6" xfId="0" applyFill="1" applyBorder="1" applyProtection="1"/>
    <xf numFmtId="0" fontId="0" fillId="0" borderId="7" xfId="0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</xf>
    <xf numFmtId="0" fontId="2" fillId="4" borderId="0" xfId="0" applyFont="1" applyFill="1" applyBorder="1" applyProtection="1"/>
    <xf numFmtId="0" fontId="0" fillId="2" borderId="1" xfId="0" applyFill="1" applyBorder="1" applyAlignment="1" applyProtection="1">
      <alignment horizontal="center"/>
    </xf>
    <xf numFmtId="1" fontId="0" fillId="2" borderId="1" xfId="0" applyNumberFormat="1" applyFill="1" applyBorder="1" applyAlignment="1" applyProtection="1">
      <alignment horizontal="center"/>
    </xf>
    <xf numFmtId="0" fontId="0" fillId="0" borderId="0" xfId="0" applyBorder="1" applyProtection="1"/>
    <xf numFmtId="164" fontId="1" fillId="4" borderId="0" xfId="0" applyNumberFormat="1" applyFont="1" applyFill="1" applyBorder="1" applyAlignment="1" applyProtection="1">
      <alignment horizontal="center"/>
    </xf>
    <xf numFmtId="0" fontId="0" fillId="4" borderId="5" xfId="0" applyFill="1" applyBorder="1" applyAlignment="1" applyProtection="1">
      <alignment horizontal="center"/>
    </xf>
    <xf numFmtId="164" fontId="0" fillId="4" borderId="0" xfId="0" applyNumberFormat="1" applyFill="1" applyBorder="1" applyProtection="1"/>
    <xf numFmtId="0" fontId="0" fillId="4" borderId="8" xfId="0" applyFill="1" applyBorder="1" applyProtection="1"/>
    <xf numFmtId="0" fontId="0" fillId="4" borderId="9" xfId="0" applyFill="1" applyBorder="1" applyProtection="1"/>
    <xf numFmtId="0" fontId="0" fillId="4" borderId="10" xfId="0" applyFill="1" applyBorder="1" applyProtection="1"/>
    <xf numFmtId="0" fontId="0" fillId="2" borderId="1" xfId="0" applyFill="1" applyBorder="1" applyAlignment="1" applyProtection="1">
      <alignment horizontal="center"/>
      <protection locked="0"/>
    </xf>
    <xf numFmtId="0" fontId="0" fillId="4" borderId="0" xfId="0" applyFill="1" applyBorder="1" applyAlignment="1">
      <alignment horizontal="right"/>
    </xf>
    <xf numFmtId="0" fontId="3" fillId="4" borderId="0" xfId="0" applyFont="1" applyFill="1"/>
    <xf numFmtId="0" fontId="0" fillId="4" borderId="5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8" fontId="0" fillId="0" borderId="1" xfId="0" applyNumberFormat="1" applyBorder="1" applyAlignment="1" applyProtection="1">
      <alignment horizontal="center"/>
      <protection locked="0"/>
    </xf>
    <xf numFmtId="168" fontId="0" fillId="2" borderId="1" xfId="0" applyNumberFormat="1" applyFill="1" applyBorder="1" applyAlignment="1" applyProtection="1">
      <alignment horizontal="center"/>
      <protection locked="0"/>
    </xf>
    <xf numFmtId="0" fontId="0" fillId="4" borderId="11" xfId="0" applyFill="1" applyBorder="1" applyProtection="1"/>
    <xf numFmtId="167" fontId="0" fillId="4" borderId="13" xfId="0" applyNumberFormat="1" applyFill="1" applyBorder="1" applyAlignment="1" applyProtection="1">
      <alignment horizontal="left" vertical="center"/>
    </xf>
    <xf numFmtId="164" fontId="0" fillId="4" borderId="6" xfId="0" applyNumberFormat="1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</xf>
    <xf numFmtId="164" fontId="0" fillId="4" borderId="10" xfId="0" applyNumberFormat="1" applyFill="1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0" fillId="4" borderId="10" xfId="0" applyFill="1" applyBorder="1" applyAlignment="1" applyProtection="1">
      <alignment horizontal="center"/>
    </xf>
    <xf numFmtId="169" fontId="0" fillId="4" borderId="0" xfId="1" applyNumberFormat="1" applyFont="1" applyFill="1" applyBorder="1" applyAlignment="1">
      <alignment horizontal="center"/>
    </xf>
    <xf numFmtId="165" fontId="11" fillId="4" borderId="0" xfId="0" applyNumberFormat="1" applyFont="1" applyFill="1" applyBorder="1" applyAlignment="1">
      <alignment horizontal="center"/>
    </xf>
    <xf numFmtId="1" fontId="5" fillId="4" borderId="3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</xf>
    <xf numFmtId="0" fontId="10" fillId="4" borderId="0" xfId="0" applyFont="1" applyFill="1"/>
    <xf numFmtId="0" fontId="10" fillId="5" borderId="0" xfId="2" applyFont="1" applyBorder="1" applyAlignment="1" applyProtection="1">
      <alignment horizontal="left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2" xfId="0" applyFill="1" applyBorder="1" applyAlignment="1" applyProtection="1">
      <alignment horizontal="center" vertical="center"/>
    </xf>
    <xf numFmtId="0" fontId="9" fillId="6" borderId="2" xfId="3" applyBorder="1" applyAlignment="1" applyProtection="1">
      <alignment horizontal="center"/>
    </xf>
    <xf numFmtId="0" fontId="9" fillId="6" borderId="3" xfId="3" applyBorder="1" applyAlignment="1" applyProtection="1">
      <alignment horizontal="center"/>
    </xf>
    <xf numFmtId="0" fontId="9" fillId="6" borderId="4" xfId="3" applyBorder="1" applyAlignment="1" applyProtection="1">
      <alignment horizontal="center"/>
    </xf>
    <xf numFmtId="0" fontId="0" fillId="4" borderId="3" xfId="0" applyFont="1" applyFill="1" applyBorder="1" applyAlignment="1">
      <alignment horizontal="right" vertical="center"/>
    </xf>
    <xf numFmtId="0" fontId="0" fillId="4" borderId="0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17" xfId="0" applyFill="1" applyBorder="1" applyAlignment="1" applyProtection="1">
      <alignment horizontal="center" vertical="center"/>
    </xf>
    <xf numFmtId="0" fontId="0" fillId="4" borderId="18" xfId="0" applyFill="1" applyBorder="1" applyAlignment="1" applyProtection="1">
      <alignment horizontal="center" vertical="center"/>
    </xf>
    <xf numFmtId="0" fontId="0" fillId="4" borderId="19" xfId="0" applyFill="1" applyBorder="1" applyAlignment="1" applyProtection="1">
      <alignment horizontal="center" vertical="center"/>
    </xf>
    <xf numFmtId="0" fontId="0" fillId="4" borderId="20" xfId="0" applyFill="1" applyBorder="1" applyAlignment="1" applyProtection="1">
      <alignment horizontal="center" vertical="center"/>
    </xf>
    <xf numFmtId="0" fontId="13" fillId="4" borderId="0" xfId="0" applyFont="1" applyFill="1" applyBorder="1"/>
    <xf numFmtId="166" fontId="14" fillId="2" borderId="1" xfId="0" applyNumberFormat="1" applyFont="1" applyFill="1" applyBorder="1" applyAlignment="1">
      <alignment horizontal="center"/>
    </xf>
  </cellXfs>
  <cellStyles count="4">
    <cellStyle name="Bueno" xfId="2" builtinId="26"/>
    <cellStyle name="Neutral" xfId="3" builtinId="2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5</xdr:row>
      <xdr:rowOff>99060</xdr:rowOff>
    </xdr:from>
    <xdr:to>
      <xdr:col>4</xdr:col>
      <xdr:colOff>647700</xdr:colOff>
      <xdr:row>5</xdr:row>
      <xdr:rowOff>99060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358640" y="1013460"/>
          <a:ext cx="533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129540</xdr:colOff>
      <xdr:row>6</xdr:row>
      <xdr:rowOff>121920</xdr:rowOff>
    </xdr:from>
    <xdr:to>
      <xdr:col>4</xdr:col>
      <xdr:colOff>662940</xdr:colOff>
      <xdr:row>6</xdr:row>
      <xdr:rowOff>121920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3299460" y="1219200"/>
          <a:ext cx="533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137160</xdr:colOff>
      <xdr:row>7</xdr:row>
      <xdr:rowOff>106680</xdr:rowOff>
    </xdr:from>
    <xdr:to>
      <xdr:col>4</xdr:col>
      <xdr:colOff>670560</xdr:colOff>
      <xdr:row>7</xdr:row>
      <xdr:rowOff>106680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307080" y="1386840"/>
          <a:ext cx="533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121920</xdr:colOff>
      <xdr:row>8</xdr:row>
      <xdr:rowOff>91440</xdr:rowOff>
    </xdr:from>
    <xdr:to>
      <xdr:col>4</xdr:col>
      <xdr:colOff>655320</xdr:colOff>
      <xdr:row>8</xdr:row>
      <xdr:rowOff>91440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3291840" y="1554480"/>
          <a:ext cx="533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12</xdr:row>
      <xdr:rowOff>99060</xdr:rowOff>
    </xdr:from>
    <xdr:to>
      <xdr:col>4</xdr:col>
      <xdr:colOff>647700</xdr:colOff>
      <xdr:row>12</xdr:row>
      <xdr:rowOff>99060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3284220" y="2293620"/>
          <a:ext cx="533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670560</xdr:colOff>
      <xdr:row>0</xdr:row>
      <xdr:rowOff>83820</xdr:rowOff>
    </xdr:from>
    <xdr:to>
      <xdr:col>10</xdr:col>
      <xdr:colOff>1920240</xdr:colOff>
      <xdr:row>14</xdr:row>
      <xdr:rowOff>25074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9860" y="83820"/>
          <a:ext cx="4419600" cy="2615874"/>
        </a:xfrm>
        <a:prstGeom prst="rect">
          <a:avLst/>
        </a:prstGeom>
      </xdr:spPr>
    </xdr:pic>
    <xdr:clientData/>
  </xdr:twoCellAnchor>
  <xdr:oneCellAnchor>
    <xdr:from>
      <xdr:col>6</xdr:col>
      <xdr:colOff>754380</xdr:colOff>
      <xdr:row>16</xdr:row>
      <xdr:rowOff>95250</xdr:rowOff>
    </xdr:from>
    <xdr:ext cx="3953390" cy="778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8991600" y="3288030"/>
              <a:ext cx="3953390" cy="778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8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  <m:e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∗ 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11</m:t>
                        </m:r>
                      </m:sub>
                    </m:sSub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+ 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12</m:t>
                        </m:r>
                      </m:sub>
                    </m:sSub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+ 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13</m:t>
                        </m:r>
                      </m:sub>
                    </m:sSub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8991600" y="3288030"/>
              <a:ext cx="3953390" cy="778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i="0">
                  <a:latin typeface="Cambria Math" panose="02040503050406030204" pitchFamily="18" charset="0"/>
                </a:rPr>
                <a:t>∑</a:t>
              </a:r>
              <a:r>
                <a:rPr lang="en-US" sz="1800" b="0" i="0">
                  <a:latin typeface="Cambria Math" panose="02040503050406030204" pitchFamily="18" charset="0"/>
                </a:rPr>
                <a:t>_(𝑖=1)^3▒〖𝑥_1𝑖∗ 𝑤_𝑖 〗= 𝑥_11 𝑤_1+ 𝑥_12 𝑤_2+ 𝑥_13 𝑤_3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7</xdr:col>
      <xdr:colOff>38100</xdr:colOff>
      <xdr:row>23</xdr:row>
      <xdr:rowOff>95250</xdr:rowOff>
    </xdr:from>
    <xdr:ext cx="4251960" cy="3489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5585460" y="4301490"/>
              <a:ext cx="4251960" cy="3489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6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∅</m:t>
                  </m:r>
                  <m:d>
                    <m:d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1+</m:t>
                      </m:r>
                      <m:sSup>
                        <m:sSupPr>
                          <m:ctrlP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𝑥</m:t>
                          </m:r>
                        </m:sup>
                      </m:sSup>
                    </m:den>
                  </m:f>
                </m:oMath>
              </a14:m>
              <a:r>
                <a:rPr lang="en-US" sz="1600"/>
                <a:t> , acotada entre (-1,1)</a:t>
              </a:r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5585460" y="4301490"/>
              <a:ext cx="4251960" cy="3489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∅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(𝑥)=  1/(1+𝑒^(−𝑥) )</a:t>
              </a:r>
              <a:r>
                <a:rPr lang="en-US" sz="1600"/>
                <a:t> , acotada entre (-1,1)</a:t>
              </a:r>
            </a:p>
          </xdr:txBody>
        </xdr:sp>
      </mc:Fallback>
    </mc:AlternateContent>
    <xdr:clientData/>
  </xdr:oneCellAnchor>
  <xdr:oneCellAnchor>
    <xdr:from>
      <xdr:col>7</xdr:col>
      <xdr:colOff>38100</xdr:colOff>
      <xdr:row>26</xdr:row>
      <xdr:rowOff>76200</xdr:rowOff>
    </xdr:from>
    <xdr:ext cx="4411980" cy="4106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5585460" y="4831080"/>
              <a:ext cx="4411980" cy="4106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6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∅</m:t>
                  </m:r>
                  <m:d>
                    <m:d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1+</m:t>
                      </m:r>
                      <m:sSup>
                        <m:sSupPr>
                          <m:ctrlP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−(</m:t>
                          </m:r>
                          <m:nary>
                            <m:naryPr>
                              <m:chr m:val="∑"/>
                              <m:ctrlPr>
                                <a:rPr lang="en-US" sz="16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naryPr>
                            <m:sub>
                              <m:r>
                                <m:rPr>
                                  <m:brk m:alnAt="23"/>
                                </m:rPr>
                                <a:rPr lang="en-US" sz="16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=1</m:t>
                              </m:r>
                            </m:sub>
                            <m:sup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3</m:t>
                              </m:r>
                            </m:sup>
                            <m:e>
                              <m:sSub>
                                <m:sSubPr>
                                  <m:ctrlPr>
                                    <a:rPr lang="en-US" sz="16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6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  <m:sub>
                                  <m:r>
                                    <a:rPr lang="en-US" sz="16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 </m:t>
                              </m:r>
                              <m:sSub>
                                <m:sSubPr>
                                  <m:ctrlPr>
                                    <a:rPr lang="en-US" sz="16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6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𝑤</m:t>
                                  </m:r>
                                </m:e>
                                <m:sub>
                                  <m:r>
                                    <a:rPr lang="en-US" sz="16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)</m:t>
                              </m:r>
                            </m:e>
                          </m:nary>
                        </m:sup>
                      </m:sSup>
                    </m:den>
                  </m:f>
                </m:oMath>
              </a14:m>
              <a:r>
                <a:rPr lang="en-US" sz="1600"/>
                <a:t> </a:t>
              </a:r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5585460" y="4831080"/>
              <a:ext cx="4411980" cy="4106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∅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(𝑥)=  1/(1+𝑒^(−(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∑_(𝑖=1)^3▒〖𝑥_𝑖∗ 𝑤_𝑖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)</a:t>
              </a:r>
              <a:r>
                <a:rPr lang="en-US" sz="16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53340</xdr:colOff>
      <xdr:row>26</xdr:row>
      <xdr:rowOff>15240</xdr:rowOff>
    </xdr:from>
    <xdr:ext cx="2735580" cy="800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53340" y="5128260"/>
              <a:ext cx="2735580" cy="800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r>
                <a:rPr lang="en-US" sz="1800" i="0">
                  <a:latin typeface="+mn-lt"/>
                </a:rPr>
                <a:t>[</a:t>
              </a:r>
              <a14:m>
                <m:oMath xmlns:m="http://schemas.openxmlformats.org/officeDocument/2006/math">
                  <m:nary>
                    <m:naryPr>
                      <m:chr m:val="∑"/>
                      <m:ctrlPr>
                        <a:rPr lang="en-US" sz="18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18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=1</m:t>
                      </m:r>
                    </m:sub>
                    <m:sup>
                      <m:r>
                        <a:rPr lang="en-US" sz="1800" b="0" i="1">
                          <a:latin typeface="Cambria Math" panose="02040503050406030204" pitchFamily="18" charset="0"/>
                        </a:rPr>
                        <m:t>3</m:t>
                      </m:r>
                    </m:sup>
                    <m:e>
                      <m:sSub>
                        <m:sSubPr>
                          <m:ctrlPr>
                            <a:rPr lang="en-US" sz="18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  <m:sub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1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  <m:r>
                        <a:rPr lang="en-US" sz="1800" b="0" i="1">
                          <a:latin typeface="Cambria Math" panose="02040503050406030204" pitchFamily="18" charset="0"/>
                        </a:rPr>
                        <m:t>∗ </m:t>
                      </m:r>
                      <m:sSub>
                        <m:sSub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  <m:r>
                        <a:rPr lang="en-US" sz="1800" b="0" i="1">
                          <a:latin typeface="Cambria Math" panose="02040503050406030204" pitchFamily="18" charset="0"/>
                        </a:rPr>
                        <m:t>]+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𝑏𝑖𝑎𝑠</m:t>
                      </m:r>
                    </m:e>
                  </m:nary>
                  <m:r>
                    <a:rPr lang="en-US" sz="1800" b="0" i="1">
                      <a:latin typeface="Cambria Math" panose="02040503050406030204" pitchFamily="18" charset="0"/>
                    </a:rPr>
                    <m:t>= </m:t>
                  </m:r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53340" y="5128260"/>
              <a:ext cx="2735580" cy="800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800" i="0">
                  <a:latin typeface="+mn-lt"/>
                </a:rPr>
                <a:t>[</a:t>
              </a:r>
              <a:r>
                <a:rPr lang="en-US" sz="1800" i="0">
                  <a:latin typeface="Cambria Math" panose="02040503050406030204" pitchFamily="18" charset="0"/>
                </a:rPr>
                <a:t>∑</a:t>
              </a:r>
              <a:r>
                <a:rPr lang="en-US" sz="1800" b="0" i="0">
                  <a:latin typeface="Cambria Math" panose="02040503050406030204" pitchFamily="18" charset="0"/>
                </a:rPr>
                <a:t>_(𝑖=1)^3▒〖𝑥_1𝑖∗ 𝑤_𝑖]+𝑏𝑖𝑎𝑠〗= 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7</xdr:col>
      <xdr:colOff>0</xdr:colOff>
      <xdr:row>30</xdr:row>
      <xdr:rowOff>0</xdr:rowOff>
    </xdr:from>
    <xdr:ext cx="4853940" cy="500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6621780" y="5486400"/>
              <a:ext cx="4853940" cy="5009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6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∅</m:t>
                  </m:r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′</m:t>
                  </m:r>
                  <m:d>
                    <m:d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n-US" sz="16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∅</m:t>
                  </m:r>
                  <m:r>
                    <a:rPr lang="en-US" sz="16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r>
                    <a:rPr lang="en-US" sz="16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𝑥</m:t>
                  </m:r>
                  <m:r>
                    <a:rPr lang="en-US" sz="16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)(1−∅(</m:t>
                  </m:r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))</m:t>
                  </m:r>
                </m:oMath>
              </a14:m>
              <a:r>
                <a:rPr lang="en-US" sz="1600"/>
                <a:t> , sea la derivada de la función sigmoide</a:t>
              </a:r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6621780" y="5486400"/>
              <a:ext cx="4853940" cy="5009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∅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′(𝑥)=</a:t>
              </a:r>
              <a:r>
                <a:rPr lang="en-US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∅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(𝑥)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(1−</a:t>
              </a:r>
              <a:r>
                <a:rPr lang="en-US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∅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𝑥))</a:t>
              </a:r>
              <a:r>
                <a:rPr lang="en-US" sz="1600"/>
                <a:t> , sea la derivada de la función sigmoide</a:t>
              </a:r>
            </a:p>
          </xdr:txBody>
        </xdr:sp>
      </mc:Fallback>
    </mc:AlternateContent>
    <xdr:clientData/>
  </xdr:oneCellAnchor>
  <xdr:oneCellAnchor>
    <xdr:from>
      <xdr:col>6</xdr:col>
      <xdr:colOff>586740</xdr:colOff>
      <xdr:row>33</xdr:row>
      <xdr:rowOff>99060</xdr:rowOff>
    </xdr:from>
    <xdr:ext cx="4758930" cy="778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416040" y="6286500"/>
              <a:ext cx="4758930" cy="778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8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  <m:e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  <m:r>
                      <a:rPr lang="en-US" sz="18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𝑠𝑖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𝑓𝑢𝑒𝑠𝑒𝑛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𝑚𝑎𝑡𝑟𝑖𝑐𝑒𝑠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𝑝𝑎𝑟𝑎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𝑑𝑒𝑠𝑝𝑒𝑗𝑎𝑟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6416040" y="6286500"/>
              <a:ext cx="4758930" cy="778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i="0">
                  <a:latin typeface="Cambria Math" panose="02040503050406030204" pitchFamily="18" charset="0"/>
                </a:rPr>
                <a:t>∑24_(</a:t>
              </a:r>
              <a:r>
                <a:rPr lang="en-US" sz="1800" b="0" i="0">
                  <a:latin typeface="Cambria Math" panose="02040503050406030204" pitchFamily="18" charset="0"/>
                </a:rPr>
                <a:t>𝑖=1)^3▒〖𝑥_𝑖∗𝑤_𝑖 〗, 𝑠𝑖 𝑓𝑢𝑒𝑠𝑒𝑛 𝑚𝑎𝑡𝑟𝑖𝑐𝑒𝑠, 𝑝𝑎𝑟𝑎 𝑑𝑒𝑠𝑝𝑒𝑗𝑎𝑟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8</xdr:col>
      <xdr:colOff>15240</xdr:colOff>
      <xdr:row>38</xdr:row>
      <xdr:rowOff>7620</xdr:rowOff>
    </xdr:from>
    <xdr:ext cx="4053840" cy="281808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7429500" y="7109460"/>
          <a:ext cx="4053840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0"/>
            <a:t>[wi actualizado]</a:t>
          </a:r>
          <a:r>
            <a:rPr lang="en-US" sz="1800" b="0" baseline="0"/>
            <a:t> = [ajuste]* [xi]</a:t>
          </a:r>
          <a:r>
            <a:rPr lang="en-US" sz="1800" b="0" baseline="30000"/>
            <a:t>T</a:t>
          </a:r>
          <a:r>
            <a:rPr lang="en-US" sz="1800" b="0" baseline="0"/>
            <a:t> +[wi]</a:t>
          </a:r>
          <a:endParaRPr lang="en-US" sz="18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45</xdr:row>
          <xdr:rowOff>106680</xdr:rowOff>
        </xdr:from>
        <xdr:to>
          <xdr:col>12</xdr:col>
          <xdr:colOff>388620</xdr:colOff>
          <xdr:row>47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45</xdr:row>
          <xdr:rowOff>15240</xdr:rowOff>
        </xdr:from>
        <xdr:to>
          <xdr:col>6</xdr:col>
          <xdr:colOff>335280</xdr:colOff>
          <xdr:row>47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Entrenar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190500</xdr:colOff>
      <xdr:row>51</xdr:row>
      <xdr:rowOff>53340</xdr:rowOff>
    </xdr:from>
    <xdr:ext cx="1381147" cy="778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190500" y="4594860"/>
              <a:ext cx="1381147" cy="778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8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  <m:e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∗ 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190500" y="4594860"/>
              <a:ext cx="1381147" cy="778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i="0">
                  <a:latin typeface="Cambria Math" panose="02040503050406030204" pitchFamily="18" charset="0"/>
                </a:rPr>
                <a:t>∑24_(</a:t>
              </a:r>
              <a:r>
                <a:rPr lang="en-US" sz="1800" b="0" i="0">
                  <a:latin typeface="Cambria Math" panose="02040503050406030204" pitchFamily="18" charset="0"/>
                </a:rPr>
                <a:t>𝑖=1)^3▒〖𝑥_𝑖∗ 𝑤_𝑖 〗= 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1</xdr:col>
      <xdr:colOff>1356360</xdr:colOff>
      <xdr:row>51</xdr:row>
      <xdr:rowOff>68580</xdr:rowOff>
    </xdr:from>
    <xdr:to>
      <xdr:col>1</xdr:col>
      <xdr:colOff>1356360</xdr:colOff>
      <xdr:row>53</xdr:row>
      <xdr:rowOff>22860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FC0D7334-0440-4BD2-9319-2CDF8E9CCBE7}"/>
            </a:ext>
          </a:extLst>
        </xdr:cNvPr>
        <xdr:cNvCxnSpPr/>
      </xdr:nvCxnSpPr>
      <xdr:spPr>
        <a:xfrm>
          <a:off x="3566160" y="10645140"/>
          <a:ext cx="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76200</xdr:colOff>
      <xdr:row>51</xdr:row>
      <xdr:rowOff>45720</xdr:rowOff>
    </xdr:from>
    <xdr:to>
      <xdr:col>11</xdr:col>
      <xdr:colOff>381000</xdr:colOff>
      <xdr:row>52</xdr:row>
      <xdr:rowOff>152400</xdr:rowOff>
    </xdr:to>
    <xdr:sp macro="" textlink="">
      <xdr:nvSpPr>
        <xdr:cNvPr id="17" name="Cara sonriente 16">
          <a:extLst>
            <a:ext uri="{FF2B5EF4-FFF2-40B4-BE49-F238E27FC236}">
              <a16:creationId xmlns:a16="http://schemas.microsoft.com/office/drawing/2014/main" id="{8C495048-1D00-4FCB-AE15-481C5DE70593}"/>
            </a:ext>
          </a:extLst>
        </xdr:cNvPr>
        <xdr:cNvSpPr/>
      </xdr:nvSpPr>
      <xdr:spPr>
        <a:xfrm>
          <a:off x="13677900" y="10622280"/>
          <a:ext cx="304800" cy="289560"/>
        </a:xfrm>
        <a:prstGeom prst="smileyFace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endParaRPr lang="es-VE" sz="11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2</xdr:col>
      <xdr:colOff>937260</xdr:colOff>
      <xdr:row>53</xdr:row>
      <xdr:rowOff>213360</xdr:rowOff>
    </xdr:from>
    <xdr:to>
      <xdr:col>2</xdr:col>
      <xdr:colOff>937260</xdr:colOff>
      <xdr:row>55</xdr:row>
      <xdr:rowOff>7620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D39026B-FEB2-4C66-9EC2-4ADA83766B97}"/>
            </a:ext>
          </a:extLst>
        </xdr:cNvPr>
        <xdr:cNvCxnSpPr/>
      </xdr:nvCxnSpPr>
      <xdr:spPr>
        <a:xfrm flipV="1">
          <a:off x="4632960" y="11155680"/>
          <a:ext cx="0" cy="2057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64"/>
  <sheetViews>
    <sheetView tabSelected="1" workbookViewId="0">
      <selection activeCell="K57" sqref="K57"/>
    </sheetView>
  </sheetViews>
  <sheetFormatPr baseColWidth="10" defaultColWidth="0" defaultRowHeight="14.4" zeroHeight="1" x14ac:dyDescent="0.3"/>
  <cols>
    <col min="1" max="1" width="32.21875" style="15" customWidth="1"/>
    <col min="2" max="2" width="21.6640625" style="15" customWidth="1"/>
    <col min="3" max="3" width="19.109375" style="15" customWidth="1"/>
    <col min="4" max="4" width="24" style="15" customWidth="1"/>
    <col min="5" max="10" width="11.5546875" style="15" customWidth="1"/>
    <col min="11" max="11" width="32" style="15" customWidth="1"/>
    <col min="12" max="13" width="11.5546875" style="15" customWidth="1"/>
    <col min="14" max="14" width="1.44140625" style="15" customWidth="1"/>
    <col min="15" max="16384" width="11.5546875" hidden="1"/>
  </cols>
  <sheetData>
    <row r="1" spans="1:13" customFormat="1" ht="23.4" x14ac:dyDescent="0.45">
      <c r="A1" s="42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customFormat="1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 customFormat="1" x14ac:dyDescent="0.3">
      <c r="A3" s="15" t="s">
        <v>1</v>
      </c>
      <c r="B3" s="73" t="s">
        <v>45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</row>
    <row r="4" spans="1:13" customFormat="1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customFormat="1" x14ac:dyDescent="0.3">
      <c r="A5" s="1"/>
      <c r="B5" s="76" t="s">
        <v>6</v>
      </c>
      <c r="C5" s="76"/>
      <c r="D5" s="76"/>
      <c r="E5" s="15"/>
      <c r="F5" s="2" t="s">
        <v>7</v>
      </c>
      <c r="G5" s="15"/>
      <c r="H5" s="15"/>
      <c r="I5" s="15"/>
      <c r="J5" s="15"/>
      <c r="K5" s="15"/>
      <c r="L5" s="15"/>
      <c r="M5" s="15"/>
    </row>
    <row r="6" spans="1:13" customFormat="1" x14ac:dyDescent="0.3">
      <c r="A6" s="2" t="s">
        <v>2</v>
      </c>
      <c r="B6" s="70">
        <v>0</v>
      </c>
      <c r="C6" s="70">
        <v>0</v>
      </c>
      <c r="D6" s="70">
        <v>1</v>
      </c>
      <c r="E6" s="15"/>
      <c r="F6" s="70">
        <v>0</v>
      </c>
      <c r="G6" s="15"/>
      <c r="H6" s="15"/>
      <c r="I6" s="15"/>
      <c r="J6" s="15"/>
      <c r="K6" s="15"/>
      <c r="L6" s="15"/>
      <c r="M6" s="15"/>
    </row>
    <row r="7" spans="1:13" customFormat="1" x14ac:dyDescent="0.3">
      <c r="A7" s="2" t="s">
        <v>3</v>
      </c>
      <c r="B7" s="70">
        <v>1</v>
      </c>
      <c r="C7" s="70">
        <v>1</v>
      </c>
      <c r="D7" s="70">
        <v>1</v>
      </c>
      <c r="E7" s="15"/>
      <c r="F7" s="70">
        <v>1</v>
      </c>
      <c r="G7" s="15"/>
      <c r="H7" s="15"/>
      <c r="I7" s="15"/>
      <c r="J7" s="15"/>
      <c r="K7" s="15"/>
      <c r="L7" s="15"/>
      <c r="M7" s="15"/>
    </row>
    <row r="8" spans="1:13" customFormat="1" x14ac:dyDescent="0.3">
      <c r="A8" s="2" t="s">
        <v>4</v>
      </c>
      <c r="B8" s="70">
        <v>1</v>
      </c>
      <c r="C8" s="70">
        <v>0</v>
      </c>
      <c r="D8" s="70">
        <v>1</v>
      </c>
      <c r="E8" s="15"/>
      <c r="F8" s="70">
        <v>1</v>
      </c>
      <c r="G8" s="15"/>
      <c r="H8" s="15"/>
      <c r="I8" s="15"/>
      <c r="J8" s="15"/>
      <c r="K8" s="15"/>
      <c r="L8" s="15"/>
      <c r="M8" s="15"/>
    </row>
    <row r="9" spans="1:13" customFormat="1" x14ac:dyDescent="0.3">
      <c r="A9" s="2" t="s">
        <v>5</v>
      </c>
      <c r="B9" s="70">
        <v>0</v>
      </c>
      <c r="C9" s="70">
        <v>1</v>
      </c>
      <c r="D9" s="70">
        <v>1</v>
      </c>
      <c r="E9" s="15"/>
      <c r="F9" s="70">
        <v>0</v>
      </c>
      <c r="G9" s="15"/>
      <c r="H9" s="15"/>
      <c r="I9" s="15"/>
      <c r="J9" s="15"/>
      <c r="K9" s="15"/>
      <c r="L9" s="15"/>
      <c r="M9" s="15"/>
    </row>
    <row r="10" spans="1:13" customFormat="1" x14ac:dyDescent="0.3">
      <c r="A10" s="16"/>
      <c r="B10" s="16"/>
      <c r="C10" s="16"/>
      <c r="D10" s="16"/>
      <c r="E10" s="15"/>
      <c r="F10" s="15"/>
      <c r="G10" s="15"/>
      <c r="H10" s="15"/>
      <c r="I10" s="15"/>
      <c r="J10" s="15"/>
      <c r="K10" s="15"/>
      <c r="L10" s="15"/>
      <c r="M10" s="15"/>
    </row>
    <row r="11" spans="1:13" customFormat="1" x14ac:dyDescent="0.3">
      <c r="A11" s="75" t="s">
        <v>9</v>
      </c>
      <c r="B11" s="75"/>
      <c r="C11" s="75"/>
      <c r="D11" s="75"/>
      <c r="E11" s="75"/>
      <c r="F11" s="15"/>
      <c r="G11" s="15"/>
      <c r="H11" s="15"/>
      <c r="I11" s="15"/>
      <c r="J11" s="15"/>
      <c r="K11" s="15"/>
      <c r="L11" s="15"/>
      <c r="M11" s="15"/>
    </row>
    <row r="12" spans="1:13" customFormat="1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</row>
    <row r="13" spans="1:13" customFormat="1" x14ac:dyDescent="0.3">
      <c r="A13" s="2" t="s">
        <v>10</v>
      </c>
      <c r="B13" s="40">
        <v>1</v>
      </c>
      <c r="C13" s="40">
        <v>0</v>
      </c>
      <c r="D13" s="40">
        <v>0</v>
      </c>
      <c r="F13" s="3" t="s">
        <v>8</v>
      </c>
      <c r="G13" s="15"/>
      <c r="H13" s="15"/>
      <c r="I13" s="15"/>
      <c r="J13" s="15"/>
      <c r="K13" s="15"/>
      <c r="L13" s="15"/>
      <c r="M13" s="15"/>
    </row>
    <row r="14" spans="1:13" customFormat="1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</row>
    <row r="15" spans="1:13" customFormat="1" ht="15" thickBot="1" x14ac:dyDescent="0.3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3" customFormat="1" ht="25.8" x14ac:dyDescent="0.5">
      <c r="A16" s="18" t="s">
        <v>24</v>
      </c>
      <c r="B16" s="19"/>
      <c r="C16" s="19"/>
      <c r="D16" s="19"/>
      <c r="E16" s="19"/>
      <c r="F16" s="19"/>
      <c r="G16" s="20"/>
      <c r="H16" s="20"/>
      <c r="I16" s="20"/>
      <c r="J16" s="20"/>
      <c r="K16" s="20"/>
      <c r="L16" s="20"/>
      <c r="M16" s="21"/>
    </row>
    <row r="17" spans="1:13" customFormat="1" ht="15.6" x14ac:dyDescent="0.35">
      <c r="A17" s="22" t="s">
        <v>38</v>
      </c>
      <c r="B17" s="23"/>
      <c r="C17" s="23"/>
      <c r="D17" s="23"/>
      <c r="E17" s="23"/>
      <c r="F17" s="23"/>
      <c r="G17" s="23"/>
      <c r="H17" s="23"/>
      <c r="I17" s="82" t="s">
        <v>37</v>
      </c>
      <c r="J17" s="82"/>
      <c r="K17" s="23"/>
      <c r="L17" s="23"/>
      <c r="M17" s="24"/>
    </row>
    <row r="18" spans="1:13" customFormat="1" x14ac:dyDescent="0.3">
      <c r="A18" s="22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4"/>
    </row>
    <row r="19" spans="1:13" customFormat="1" ht="15.6" x14ac:dyDescent="0.35">
      <c r="A19" s="25" t="s">
        <v>39</v>
      </c>
      <c r="B19" s="55">
        <v>5.5772299655273745</v>
      </c>
      <c r="C19" s="23"/>
      <c r="D19" s="44" t="s">
        <v>32</v>
      </c>
      <c r="E19" s="71">
        <v>0.5</v>
      </c>
      <c r="F19" s="23"/>
      <c r="G19" s="23"/>
      <c r="H19" s="23"/>
      <c r="I19" s="23"/>
      <c r="J19" s="23"/>
      <c r="K19" s="23"/>
      <c r="L19" s="23"/>
      <c r="M19" s="24"/>
    </row>
    <row r="20" spans="1:13" customFormat="1" ht="15.6" x14ac:dyDescent="0.35">
      <c r="A20" s="26" t="s">
        <v>40</v>
      </c>
      <c r="B20" s="56">
        <v>-0.23053046833252433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4"/>
    </row>
    <row r="21" spans="1:13" customFormat="1" ht="15.6" x14ac:dyDescent="0.35">
      <c r="A21" s="25" t="s">
        <v>41</v>
      </c>
      <c r="B21" s="55">
        <v>-3.0628376775596431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4"/>
    </row>
    <row r="22" spans="1:13" customFormat="1" x14ac:dyDescent="0.3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4"/>
    </row>
    <row r="23" spans="1:13" customFormat="1" x14ac:dyDescent="0.3">
      <c r="A23" s="22" t="s">
        <v>13</v>
      </c>
      <c r="B23" s="23"/>
      <c r="C23" s="28" t="s">
        <v>42</v>
      </c>
      <c r="D23" s="29">
        <f>Input11</f>
        <v>0</v>
      </c>
      <c r="E23" s="23"/>
      <c r="F23" s="23"/>
      <c r="G23" s="23"/>
      <c r="H23" s="30" t="s">
        <v>11</v>
      </c>
      <c r="I23" s="23"/>
      <c r="J23" s="23"/>
      <c r="K23" s="23"/>
      <c r="L23" s="23"/>
      <c r="M23" s="24"/>
    </row>
    <row r="24" spans="1:13" customFormat="1" x14ac:dyDescent="0.3">
      <c r="A24" s="22"/>
      <c r="B24" s="23"/>
      <c r="C24" s="31" t="s">
        <v>43</v>
      </c>
      <c r="D24" s="32">
        <f>Input12</f>
        <v>0</v>
      </c>
      <c r="E24" s="23"/>
      <c r="F24" s="23"/>
      <c r="G24" s="23"/>
      <c r="H24" s="23"/>
      <c r="I24" s="23"/>
      <c r="J24" s="23"/>
      <c r="K24" s="23"/>
      <c r="L24" s="23"/>
      <c r="M24" s="24"/>
    </row>
    <row r="25" spans="1:13" customFormat="1" x14ac:dyDescent="0.3">
      <c r="A25" s="22"/>
      <c r="B25" s="23"/>
      <c r="C25" s="28" t="s">
        <v>44</v>
      </c>
      <c r="D25" s="29">
        <f>Input13</f>
        <v>1</v>
      </c>
      <c r="E25" s="23"/>
      <c r="F25" s="23"/>
      <c r="G25" s="23"/>
      <c r="H25" s="23"/>
      <c r="I25" s="23"/>
      <c r="J25" s="23"/>
      <c r="K25" s="23"/>
      <c r="L25" s="23"/>
      <c r="M25" s="24"/>
    </row>
    <row r="26" spans="1:13" customFormat="1" ht="21.6" customHeight="1" thickBot="1" x14ac:dyDescent="0.35">
      <c r="A26" s="22"/>
      <c r="B26" s="33"/>
      <c r="C26" s="33"/>
      <c r="D26" s="33"/>
      <c r="E26" s="23"/>
      <c r="F26" s="23"/>
      <c r="G26" s="23"/>
      <c r="H26" s="23"/>
      <c r="I26" s="23"/>
      <c r="J26" s="23"/>
      <c r="K26" s="23"/>
      <c r="L26" s="23"/>
      <c r="M26" s="24"/>
    </row>
    <row r="27" spans="1:13" customFormat="1" ht="64.2" customHeight="1" thickBot="1" x14ac:dyDescent="0.35">
      <c r="A27" s="57"/>
      <c r="B27" s="77" t="str">
        <f>CONCATENATE("(",B19,")",D23," + (",B20,")",D24,"+ (",B21,")",D25," =")</f>
        <v>(5,57722996552737)0 + (-0,230530468332524)0+ (-3,06283767755964)1 =</v>
      </c>
      <c r="C27" s="77"/>
      <c r="D27" s="77"/>
      <c r="E27" s="58">
        <f>Input11*Peso1+Input12*Peso2+Input13*Peso3+Bias</f>
        <v>-2.5628376775596431</v>
      </c>
      <c r="F27" s="23"/>
      <c r="G27" s="23"/>
      <c r="H27" s="23"/>
      <c r="I27" s="23"/>
      <c r="J27" s="23"/>
      <c r="K27" s="23"/>
      <c r="L27" s="23"/>
      <c r="M27" s="24"/>
    </row>
    <row r="28" spans="1:13" customFormat="1" x14ac:dyDescent="0.3">
      <c r="A28" s="22"/>
      <c r="B28" s="23"/>
      <c r="C28" s="23"/>
      <c r="D28" s="23"/>
      <c r="E28" s="34">
        <f>B19*B7+B20*C7+B21*D7+E19</f>
        <v>2.7838618196352067</v>
      </c>
      <c r="F28" s="23"/>
      <c r="G28" s="23"/>
      <c r="H28" s="23"/>
      <c r="I28" s="23"/>
      <c r="J28" s="23"/>
      <c r="K28" s="23"/>
      <c r="L28" s="23"/>
      <c r="M28" s="24"/>
    </row>
    <row r="29" spans="1:13" customFormat="1" ht="15" thickBot="1" x14ac:dyDescent="0.35">
      <c r="A29" s="22"/>
      <c r="B29" s="23"/>
      <c r="C29" s="23"/>
      <c r="D29" s="23"/>
      <c r="E29" s="34">
        <f>B8*B19+C8*B20+D8*B21+E19</f>
        <v>3.0143922879677314</v>
      </c>
      <c r="F29" s="23"/>
      <c r="G29" s="23"/>
      <c r="H29" s="23"/>
      <c r="I29" s="23"/>
      <c r="J29" s="23"/>
      <c r="K29" s="23"/>
      <c r="L29" s="23"/>
      <c r="M29" s="24"/>
    </row>
    <row r="30" spans="1:13" customFormat="1" x14ac:dyDescent="0.3">
      <c r="A30" s="84" t="s">
        <v>46</v>
      </c>
      <c r="B30" s="83"/>
      <c r="C30" s="23"/>
      <c r="D30" s="28" t="s">
        <v>14</v>
      </c>
      <c r="E30" s="34">
        <f>B9*B19+C9*B20+D9*B21+E19</f>
        <v>-2.7933681458921673</v>
      </c>
      <c r="F30" s="23"/>
      <c r="G30" s="23"/>
      <c r="H30" s="23"/>
      <c r="I30" s="23"/>
      <c r="J30" s="23"/>
      <c r="K30" s="23"/>
      <c r="L30" s="23"/>
      <c r="M30" s="24"/>
    </row>
    <row r="31" spans="1:13" customFormat="1" x14ac:dyDescent="0.3">
      <c r="A31" s="43" t="str">
        <f>CONCATENATE("Φejemplo1(",E27,")"," =")</f>
        <v>Φejemplo1(-2,56283767755964) =</v>
      </c>
      <c r="B31" s="59">
        <f>1/(1+EXP(-Funcion1))</f>
        <v>7.1568758648363262E-2</v>
      </c>
      <c r="C31" s="23"/>
      <c r="D31" s="27">
        <f>(Output1-Sigmoide1)</f>
        <v>-7.1568758648363262E-2</v>
      </c>
      <c r="E31" s="36"/>
      <c r="F31" s="23"/>
      <c r="G31" s="23"/>
      <c r="H31" s="23"/>
      <c r="I31" s="23"/>
      <c r="J31" s="23"/>
      <c r="K31" s="23"/>
      <c r="L31" s="23"/>
      <c r="M31" s="24"/>
    </row>
    <row r="32" spans="1:13" customFormat="1" x14ac:dyDescent="0.3">
      <c r="A32" s="43" t="str">
        <f>CONCATENATE("Φejemplo2(",E28,")"," =")</f>
        <v>Φejemplo2(2,78386181963521) =</v>
      </c>
      <c r="B32" s="59">
        <f>1/(1+EXP(-Funcion2))</f>
        <v>0.94179749152900238</v>
      </c>
      <c r="C32" s="23"/>
      <c r="D32" s="27">
        <f>(Output2-Sigmoide2)</f>
        <v>5.8202508470997616E-2</v>
      </c>
      <c r="E32" s="23"/>
      <c r="F32" s="23"/>
      <c r="G32" s="23"/>
      <c r="H32" s="23"/>
      <c r="I32" s="23"/>
      <c r="J32" s="23"/>
      <c r="K32" s="23"/>
      <c r="L32" s="23"/>
      <c r="M32" s="24"/>
    </row>
    <row r="33" spans="1:13" customFormat="1" x14ac:dyDescent="0.3">
      <c r="A33" s="43" t="str">
        <f>CONCATENATE("Φejemplo3(",E29,")"," =")</f>
        <v>Φejemplo3(3,01439228796773) =</v>
      </c>
      <c r="B33" s="59">
        <f>1/(1+EXP(-Funcion3))</f>
        <v>0.9532201035489628</v>
      </c>
      <c r="C33" s="23"/>
      <c r="D33" s="27">
        <f>(Output3-Sigmoide3)</f>
        <v>4.6779896451037195E-2</v>
      </c>
      <c r="E33" s="23"/>
      <c r="F33" s="23"/>
      <c r="G33" s="23"/>
      <c r="H33" s="23"/>
      <c r="I33" s="23"/>
      <c r="J33" s="23"/>
      <c r="K33" s="23"/>
      <c r="L33" s="23"/>
      <c r="M33" s="24"/>
    </row>
    <row r="34" spans="1:13" customFormat="1" ht="15" thickBot="1" x14ac:dyDescent="0.35">
      <c r="A34" s="60" t="str">
        <f>CONCATENATE("Φejemplo4(",E30,")"," =")</f>
        <v>Φejemplo4(-2,79336814589217) =</v>
      </c>
      <c r="B34" s="61">
        <f>1/(1+EXP(-Funcion4))</f>
        <v>5.7683602666111729E-2</v>
      </c>
      <c r="C34" s="23"/>
      <c r="D34" s="27">
        <f>(Output4-Sigmoide4)</f>
        <v>-5.7683602666111729E-2</v>
      </c>
      <c r="E34" s="23"/>
      <c r="F34" s="23"/>
      <c r="G34" s="23"/>
      <c r="H34" s="23"/>
      <c r="I34" s="23"/>
      <c r="J34" s="23"/>
      <c r="K34" s="23"/>
      <c r="L34" s="23"/>
      <c r="M34" s="24"/>
    </row>
    <row r="35" spans="1:13" customFormat="1" x14ac:dyDescent="0.3">
      <c r="A35" s="84" t="s">
        <v>47</v>
      </c>
      <c r="B35" s="8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4"/>
    </row>
    <row r="36" spans="1:13" s="15" customFormat="1" x14ac:dyDescent="0.3">
      <c r="A36" s="43" t="str">
        <f>CONCATENATE("Φ'ejemplo1(",E27,")"," =")</f>
        <v>Φ'ejemplo1(-2,56283767755964) =</v>
      </c>
      <c r="B36" s="59">
        <f>B31*(1-B31)</f>
        <v>6.6446671433895585E-2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4"/>
    </row>
    <row r="37" spans="1:13" s="15" customFormat="1" x14ac:dyDescent="0.3">
      <c r="A37" s="43" t="str">
        <f>CONCATENATE("Φ'ejemplo2(",E28,")"," =")</f>
        <v>Φ'ejemplo2(2,78386181963521) =</v>
      </c>
      <c r="B37" s="59">
        <f t="shared" ref="B37:B39" si="0">B32*(1-B32)</f>
        <v>5.4814976478681068E-2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4"/>
    </row>
    <row r="38" spans="1:13" s="15" customFormat="1" x14ac:dyDescent="0.3">
      <c r="A38" s="43" t="str">
        <f>CONCATENATE("Φ'ejemplo3(",E29,")"," =")</f>
        <v>Φ'ejemplo3(3,01439228796773) =</v>
      </c>
      <c r="B38" s="59">
        <f t="shared" si="0"/>
        <v>4.4591537739067433E-2</v>
      </c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4"/>
    </row>
    <row r="39" spans="1:13" s="15" customFormat="1" ht="15" thickBot="1" x14ac:dyDescent="0.35">
      <c r="A39" s="60" t="str">
        <f>CONCATENATE("Φ'ejemplo4(",E30,")"," =")</f>
        <v>Φ'ejemplo4(-2,79336814589217) =</v>
      </c>
      <c r="B39" s="61">
        <f t="shared" si="0"/>
        <v>5.4356204649569875E-2</v>
      </c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4"/>
    </row>
    <row r="40" spans="1:13" s="15" customFormat="1" ht="15" thickBot="1" x14ac:dyDescent="0.35">
      <c r="A40" s="35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4"/>
    </row>
    <row r="41" spans="1:13" s="15" customFormat="1" x14ac:dyDescent="0.3">
      <c r="A41" s="78" t="s">
        <v>23</v>
      </c>
      <c r="B41" s="79"/>
      <c r="C41" s="79"/>
      <c r="D41" s="80"/>
      <c r="E41" s="23"/>
      <c r="F41" s="23"/>
      <c r="G41" s="23"/>
      <c r="H41" s="23"/>
      <c r="I41" s="23"/>
      <c r="J41" s="23"/>
      <c r="K41" s="23"/>
      <c r="L41" s="23"/>
      <c r="M41" s="24"/>
    </row>
    <row r="42" spans="1:13" s="15" customFormat="1" x14ac:dyDescent="0.3">
      <c r="A42" s="87" t="s">
        <v>15</v>
      </c>
      <c r="B42" s="86"/>
      <c r="C42" s="85" t="s">
        <v>22</v>
      </c>
      <c r="D42" s="88"/>
      <c r="E42" s="23"/>
      <c r="F42" s="23"/>
      <c r="G42" s="23"/>
      <c r="H42" s="23" t="s">
        <v>25</v>
      </c>
      <c r="I42" s="23"/>
      <c r="J42" s="23"/>
      <c r="K42" s="23"/>
      <c r="L42" s="23"/>
      <c r="M42" s="24"/>
    </row>
    <row r="43" spans="1:13" s="15" customFormat="1" x14ac:dyDescent="0.3">
      <c r="A43" s="26" t="s">
        <v>16</v>
      </c>
      <c r="B43" s="31">
        <f>Derivada1*Error1</f>
        <v>-4.7555057908395667E-3</v>
      </c>
      <c r="C43" s="31" t="s">
        <v>20</v>
      </c>
      <c r="D43" s="72">
        <f>Peso1+Input11*Ajuste1+Input21*Ajuste2+Input31*Ajuste3+Input41*Ajuste4</f>
        <v>5.5825063221782383</v>
      </c>
      <c r="E43" s="23"/>
      <c r="F43" s="23"/>
      <c r="G43" s="23"/>
      <c r="H43" s="74" t="s">
        <v>27</v>
      </c>
      <c r="I43" s="74"/>
      <c r="J43" s="74"/>
      <c r="K43" s="74"/>
      <c r="L43" s="74"/>
      <c r="M43" s="24"/>
    </row>
    <row r="44" spans="1:13" s="15" customFormat="1" x14ac:dyDescent="0.3">
      <c r="A44" s="25" t="s">
        <v>17</v>
      </c>
      <c r="B44" s="28">
        <f>Derivada2*Error2</f>
        <v>3.19036913283797E-3</v>
      </c>
      <c r="C44" s="28" t="s">
        <v>21</v>
      </c>
      <c r="D44" s="64">
        <f>Input12*Ajuste1+Input22*Ajuste2+Input32*Ajuste3+Input42*Ajuste4+Peso2</f>
        <v>-0.23047556091113</v>
      </c>
      <c r="E44" s="23"/>
      <c r="F44" s="23"/>
      <c r="G44" s="23"/>
      <c r="H44" s="23"/>
      <c r="I44" s="23"/>
      <c r="J44" s="23"/>
      <c r="K44" s="23"/>
      <c r="L44" s="23"/>
      <c r="M44" s="24"/>
    </row>
    <row r="45" spans="1:13" s="15" customFormat="1" x14ac:dyDescent="0.3">
      <c r="A45" s="26" t="s">
        <v>18</v>
      </c>
      <c r="B45" s="31">
        <f>Derivada3*Error3</f>
        <v>2.0859875180260917E-3</v>
      </c>
      <c r="C45" s="31" t="s">
        <v>12</v>
      </c>
      <c r="D45" s="72">
        <f>Input13*Ajuste1+Input23*Ajuste2+Input33*Ajuste3+Input43*Ajuste4+Peso3</f>
        <v>-3.0654522884110622</v>
      </c>
      <c r="E45" s="23"/>
      <c r="F45" s="23"/>
      <c r="G45" s="23"/>
      <c r="H45" s="23"/>
      <c r="I45" s="23"/>
      <c r="J45" s="23"/>
      <c r="K45" s="23"/>
      <c r="L45" s="23"/>
      <c r="M45" s="24"/>
    </row>
    <row r="46" spans="1:13" s="15" customFormat="1" ht="15" thickBot="1" x14ac:dyDescent="0.35">
      <c r="A46" s="62" t="s">
        <v>19</v>
      </c>
      <c r="B46" s="63">
        <f>Derivada4*Error4</f>
        <v>-3.1354617114436436E-3</v>
      </c>
      <c r="C46" s="65"/>
      <c r="D46" s="66"/>
      <c r="E46" s="23"/>
      <c r="F46" s="23"/>
      <c r="G46" s="23"/>
      <c r="H46" s="23"/>
      <c r="I46" s="23"/>
      <c r="J46" s="23"/>
      <c r="K46" s="23"/>
      <c r="L46" s="23"/>
      <c r="M46" s="24"/>
    </row>
    <row r="47" spans="1:13" s="15" customFormat="1" x14ac:dyDescent="0.3">
      <c r="A47" s="22"/>
      <c r="B47" s="23"/>
      <c r="C47" s="23"/>
      <c r="D47" s="23"/>
      <c r="E47" s="23"/>
      <c r="F47" s="23"/>
      <c r="G47" s="23"/>
      <c r="H47" s="23" t="s">
        <v>26</v>
      </c>
      <c r="I47" s="23"/>
      <c r="J47" s="23"/>
      <c r="K47" s="23"/>
      <c r="L47" s="23"/>
      <c r="M47" s="24"/>
    </row>
    <row r="48" spans="1:13" s="15" customFormat="1" ht="15" thickBot="1" x14ac:dyDescent="0.3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9"/>
    </row>
    <row r="49" spans="1:13" s="15" customFormat="1" ht="15" thickBot="1" x14ac:dyDescent="0.35"/>
    <row r="50" spans="1:13" s="15" customFormat="1" ht="25.8" x14ac:dyDescent="0.5">
      <c r="A50" s="5" t="s">
        <v>28</v>
      </c>
      <c r="B50" s="6"/>
      <c r="C50" s="6"/>
      <c r="D50" s="81" t="s">
        <v>36</v>
      </c>
      <c r="E50" s="81"/>
      <c r="F50" s="81"/>
      <c r="G50" s="81"/>
      <c r="H50" s="69">
        <v>220</v>
      </c>
      <c r="I50" s="7"/>
      <c r="J50" s="7"/>
      <c r="K50" s="7"/>
      <c r="L50" s="7"/>
      <c r="M50" s="8"/>
    </row>
    <row r="51" spans="1:13" s="15" customFormat="1" x14ac:dyDescent="0.3">
      <c r="A51" s="4" t="s">
        <v>10</v>
      </c>
      <c r="B51" s="70">
        <v>1</v>
      </c>
      <c r="C51" s="70">
        <v>0</v>
      </c>
      <c r="D51" s="70">
        <v>0</v>
      </c>
      <c r="E51" s="10"/>
      <c r="F51" s="10"/>
      <c r="G51" s="10"/>
      <c r="H51" s="10"/>
      <c r="I51" s="10"/>
      <c r="J51" s="10"/>
      <c r="K51" s="10"/>
      <c r="L51" s="10"/>
      <c r="M51" s="11"/>
    </row>
    <row r="52" spans="1:13" s="15" customFormat="1" x14ac:dyDescent="0.3">
      <c r="A52" s="9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1"/>
    </row>
    <row r="53" spans="1:13" s="15" customFormat="1" x14ac:dyDescent="0.3">
      <c r="A53" s="9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1"/>
    </row>
    <row r="54" spans="1:13" s="15" customFormat="1" ht="18" x14ac:dyDescent="0.35">
      <c r="A54" s="9"/>
      <c r="B54" s="75" t="str">
        <f>CONCATENATE("(",B19,")",B51," + (",B20,")",C51,"+ (",B21,")",D51," =")</f>
        <v>(5,57722996552737)1 + (-0,230530468332524)0+ (-3,06283767755964)0 =</v>
      </c>
      <c r="C54" s="75"/>
      <c r="D54" s="75"/>
      <c r="E54" s="68">
        <f>Input51*Peso1+Input52*Peso2+Input53*Peso3</f>
        <v>5.5772299655273745</v>
      </c>
      <c r="F54" s="10"/>
      <c r="G54" s="10" t="s">
        <v>29</v>
      </c>
      <c r="H54" s="10"/>
      <c r="I54" s="10"/>
      <c r="J54" s="10"/>
      <c r="K54" s="89" t="s">
        <v>30</v>
      </c>
      <c r="L54" s="90">
        <f>1/(1+EXP(-Funcion5))</f>
        <v>0.99623122723863378</v>
      </c>
      <c r="M54" s="11"/>
    </row>
    <row r="55" spans="1:13" s="15" customFormat="1" x14ac:dyDescent="0.3">
      <c r="A55" s="9"/>
      <c r="B55" s="10"/>
      <c r="C55" s="10"/>
      <c r="D55" s="10"/>
      <c r="E55" s="17">
        <f>B46*B34+B47*C34+B48*D34</f>
        <v>-1.8086472753772181E-4</v>
      </c>
      <c r="F55" s="10"/>
      <c r="G55" s="10"/>
      <c r="H55" s="10"/>
      <c r="I55" s="10"/>
      <c r="J55" s="10"/>
      <c r="K55" s="10"/>
      <c r="L55" s="10"/>
      <c r="M55" s="11"/>
    </row>
    <row r="56" spans="1:13" s="15" customFormat="1" x14ac:dyDescent="0.3">
      <c r="A56" s="9"/>
      <c r="B56" s="75" t="s">
        <v>48</v>
      </c>
      <c r="C56" s="75"/>
      <c r="D56" s="75"/>
      <c r="E56" s="10"/>
      <c r="F56" s="10"/>
      <c r="G56" s="10"/>
      <c r="H56" s="10"/>
      <c r="I56" s="10"/>
      <c r="J56" s="10"/>
      <c r="K56" s="41" t="s">
        <v>31</v>
      </c>
      <c r="L56" s="67">
        <f>MAX(ABS(Error1),ABS(Error2),ABS(Error3),ABS(Error4))</f>
        <v>7.1568758648363262E-2</v>
      </c>
      <c r="M56" s="11"/>
    </row>
    <row r="57" spans="1:13" s="15" customFormat="1" ht="15" thickBot="1" x14ac:dyDescent="0.35">
      <c r="A57" s="14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 t="s">
        <v>49</v>
      </c>
      <c r="M57" s="13"/>
    </row>
    <row r="58" spans="1:13" x14ac:dyDescent="0.3"/>
    <row r="59" spans="1:13" hidden="1" x14ac:dyDescent="0.3"/>
    <row r="60" spans="1:13" hidden="1" x14ac:dyDescent="0.3"/>
    <row r="61" spans="1:13" hidden="1" x14ac:dyDescent="0.3"/>
    <row r="62" spans="1:13" hidden="1" x14ac:dyDescent="0.3"/>
    <row r="63" spans="1:13" hidden="1" x14ac:dyDescent="0.3"/>
    <row r="64" spans="1:13" hidden="1" x14ac:dyDescent="0.3"/>
  </sheetData>
  <sheetProtection algorithmName="SHA-512" hashValue="SE9A1ngf3MWrZoovzB8fuvOg6ir6NaQyFWrqFbNFs/dZ5gh98osEtCch/856Pm5YwzGqLC5JaFqB3hO1dYnvUA==" saltValue="1bDHGnw29LAlqBAKnIxF9A==" spinCount="100000" sheet="1" objects="1" scenarios="1"/>
  <mergeCells count="13">
    <mergeCell ref="B56:D56"/>
    <mergeCell ref="H43:L43"/>
    <mergeCell ref="B54:D54"/>
    <mergeCell ref="B5:D5"/>
    <mergeCell ref="A11:E11"/>
    <mergeCell ref="B27:D27"/>
    <mergeCell ref="A42:B42"/>
    <mergeCell ref="C42:D42"/>
    <mergeCell ref="A41:D41"/>
    <mergeCell ref="D50:G50"/>
    <mergeCell ref="I17:J17"/>
    <mergeCell ref="A30:B30"/>
    <mergeCell ref="A35:B3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etir">
                <anchor moveWithCells="1" sizeWithCells="1">
                  <from>
                    <xdr:col>10</xdr:col>
                    <xdr:colOff>396240</xdr:colOff>
                    <xdr:row>45</xdr:row>
                    <xdr:rowOff>106680</xdr:rowOff>
                  </from>
                  <to>
                    <xdr:col>12</xdr:col>
                    <xdr:colOff>388620</xdr:colOff>
                    <xdr:row>47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trenar">
                <anchor moveWithCells="1" sizeWithCells="1">
                  <from>
                    <xdr:col>4</xdr:col>
                    <xdr:colOff>480060</xdr:colOff>
                    <xdr:row>45</xdr:row>
                    <xdr:rowOff>15240</xdr:rowOff>
                  </from>
                  <to>
                    <xdr:col>6</xdr:col>
                    <xdr:colOff>335280</xdr:colOff>
                    <xdr:row>47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3"/>
  <sheetViews>
    <sheetView workbookViewId="0">
      <selection activeCell="C17" sqref="C17"/>
    </sheetView>
  </sheetViews>
  <sheetFormatPr baseColWidth="10" defaultRowHeight="14.4" x14ac:dyDescent="0.3"/>
  <sheetData>
    <row r="2" spans="2:7" ht="15" thickBot="1" x14ac:dyDescent="0.35"/>
    <row r="3" spans="2:7" x14ac:dyDescent="0.3">
      <c r="B3" s="46" t="s">
        <v>33</v>
      </c>
      <c r="C3" s="47">
        <f>Input12</f>
        <v>0</v>
      </c>
      <c r="D3" s="47">
        <f>Input22</f>
        <v>1</v>
      </c>
      <c r="E3" s="47">
        <f>Input32</f>
        <v>0</v>
      </c>
      <c r="F3" s="47">
        <f>Input42</f>
        <v>1</v>
      </c>
      <c r="G3" s="48">
        <f>Input52</f>
        <v>0</v>
      </c>
    </row>
    <row r="4" spans="2:7" x14ac:dyDescent="0.3">
      <c r="B4" s="49">
        <f>Input11</f>
        <v>0</v>
      </c>
      <c r="C4" s="50">
        <f>Output1</f>
        <v>0</v>
      </c>
      <c r="D4" s="50"/>
      <c r="E4" s="50"/>
      <c r="F4" s="50"/>
      <c r="G4" s="51"/>
    </row>
    <row r="5" spans="2:7" x14ac:dyDescent="0.3">
      <c r="B5" s="49">
        <f>Input21</f>
        <v>1</v>
      </c>
      <c r="C5" s="50"/>
      <c r="D5" s="50">
        <f>Output2</f>
        <v>1</v>
      </c>
      <c r="E5" s="50"/>
      <c r="F5" s="50"/>
      <c r="G5" s="51"/>
    </row>
    <row r="6" spans="2:7" x14ac:dyDescent="0.3">
      <c r="B6" s="49">
        <f>Input31</f>
        <v>1</v>
      </c>
      <c r="C6" s="50"/>
      <c r="D6" s="50"/>
      <c r="E6" s="50">
        <f>Output3</f>
        <v>1</v>
      </c>
      <c r="F6" s="50"/>
      <c r="G6" s="51"/>
    </row>
    <row r="7" spans="2:7" x14ac:dyDescent="0.3">
      <c r="B7" s="49">
        <f>Input41</f>
        <v>0</v>
      </c>
      <c r="C7" s="50"/>
      <c r="D7" s="50"/>
      <c r="E7" s="50"/>
      <c r="F7" s="50">
        <f>Output4</f>
        <v>0</v>
      </c>
      <c r="G7" s="51"/>
    </row>
    <row r="8" spans="2:7" ht="15" thickBot="1" x14ac:dyDescent="0.35">
      <c r="B8" s="52">
        <f>Input51</f>
        <v>1</v>
      </c>
      <c r="C8" s="53"/>
      <c r="D8" s="53"/>
      <c r="E8" s="53"/>
      <c r="F8" s="53"/>
      <c r="G8" s="54">
        <f>Sigmoide5</f>
        <v>0.99623122723863378</v>
      </c>
    </row>
    <row r="9" spans="2:7" ht="15" thickBot="1" x14ac:dyDescent="0.35">
      <c r="B9" s="45"/>
      <c r="C9" s="45"/>
      <c r="D9" s="45"/>
      <c r="E9" s="45"/>
      <c r="F9" s="45"/>
      <c r="G9" s="45"/>
    </row>
    <row r="10" spans="2:7" x14ac:dyDescent="0.3">
      <c r="B10" s="46" t="s">
        <v>34</v>
      </c>
      <c r="C10" s="47">
        <f>Hoja1!D6</f>
        <v>1</v>
      </c>
      <c r="D10" s="47">
        <f>Hoja1!D7</f>
        <v>1</v>
      </c>
      <c r="E10" s="47">
        <f>Hoja1!D8</f>
        <v>1</v>
      </c>
      <c r="F10" s="47">
        <f>Hoja1!D9</f>
        <v>1</v>
      </c>
      <c r="G10" s="48">
        <f>Hoja1!D51</f>
        <v>0</v>
      </c>
    </row>
    <row r="11" spans="2:7" x14ac:dyDescent="0.3">
      <c r="B11" s="49">
        <f>Input11</f>
        <v>0</v>
      </c>
      <c r="C11" s="50">
        <f>Output1</f>
        <v>0</v>
      </c>
      <c r="D11" s="50"/>
      <c r="E11" s="50"/>
      <c r="F11" s="50"/>
      <c r="G11" s="51"/>
    </row>
    <row r="12" spans="2:7" x14ac:dyDescent="0.3">
      <c r="B12" s="49">
        <f>Input21</f>
        <v>1</v>
      </c>
      <c r="C12" s="50"/>
      <c r="D12" s="50">
        <f>Output2</f>
        <v>1</v>
      </c>
      <c r="E12" s="50"/>
      <c r="F12" s="50"/>
      <c r="G12" s="51"/>
    </row>
    <row r="13" spans="2:7" x14ac:dyDescent="0.3">
      <c r="B13" s="49">
        <f>Input31</f>
        <v>1</v>
      </c>
      <c r="C13" s="50"/>
      <c r="D13" s="50"/>
      <c r="E13" s="50">
        <f>Output3</f>
        <v>1</v>
      </c>
      <c r="F13" s="50"/>
      <c r="G13" s="51"/>
    </row>
    <row r="14" spans="2:7" x14ac:dyDescent="0.3">
      <c r="B14" s="49">
        <f>Input41</f>
        <v>0</v>
      </c>
      <c r="C14" s="50"/>
      <c r="D14" s="50"/>
      <c r="E14" s="50"/>
      <c r="F14" s="50">
        <f>Output4</f>
        <v>0</v>
      </c>
      <c r="G14" s="51"/>
    </row>
    <row r="15" spans="2:7" ht="15" thickBot="1" x14ac:dyDescent="0.35">
      <c r="B15" s="52">
        <f>Input51</f>
        <v>1</v>
      </c>
      <c r="C15" s="53"/>
      <c r="D15" s="53"/>
      <c r="E15" s="53"/>
      <c r="F15" s="53"/>
      <c r="G15" s="54">
        <f>Sigmoide5</f>
        <v>0.99623122723863378</v>
      </c>
    </row>
    <row r="16" spans="2:7" ht="15" thickBot="1" x14ac:dyDescent="0.35">
      <c r="B16" s="45"/>
      <c r="C16" s="45"/>
      <c r="D16" s="45"/>
      <c r="E16" s="45"/>
      <c r="F16" s="45"/>
      <c r="G16" s="45"/>
    </row>
    <row r="17" spans="2:7" x14ac:dyDescent="0.3">
      <c r="B17" s="46" t="s">
        <v>35</v>
      </c>
      <c r="C17" s="47">
        <f>C10</f>
        <v>1</v>
      </c>
      <c r="D17" s="47">
        <f t="shared" ref="D17:G17" si="0">D10</f>
        <v>1</v>
      </c>
      <c r="E17" s="47">
        <f t="shared" si="0"/>
        <v>1</v>
      </c>
      <c r="F17" s="47">
        <f t="shared" si="0"/>
        <v>1</v>
      </c>
      <c r="G17" s="48">
        <f t="shared" si="0"/>
        <v>0</v>
      </c>
    </row>
    <row r="18" spans="2:7" x14ac:dyDescent="0.3">
      <c r="B18" s="49">
        <f>C3</f>
        <v>0</v>
      </c>
      <c r="C18" s="50">
        <f>Output1</f>
        <v>0</v>
      </c>
      <c r="D18" s="50"/>
      <c r="E18" s="50"/>
      <c r="F18" s="50"/>
      <c r="G18" s="51"/>
    </row>
    <row r="19" spans="2:7" x14ac:dyDescent="0.3">
      <c r="B19" s="49">
        <f>D3</f>
        <v>1</v>
      </c>
      <c r="C19" s="50"/>
      <c r="D19" s="50">
        <f>Output2</f>
        <v>1</v>
      </c>
      <c r="E19" s="50"/>
      <c r="F19" s="50"/>
      <c r="G19" s="51"/>
    </row>
    <row r="20" spans="2:7" x14ac:dyDescent="0.3">
      <c r="B20" s="49">
        <f>E3</f>
        <v>0</v>
      </c>
      <c r="C20" s="50"/>
      <c r="D20" s="50"/>
      <c r="E20" s="50">
        <f>Output3</f>
        <v>1</v>
      </c>
      <c r="F20" s="50"/>
      <c r="G20" s="51"/>
    </row>
    <row r="21" spans="2:7" x14ac:dyDescent="0.3">
      <c r="B21" s="49">
        <f>F3</f>
        <v>1</v>
      </c>
      <c r="C21" s="50"/>
      <c r="D21" s="50"/>
      <c r="E21" s="50"/>
      <c r="F21" s="50">
        <f>Output4</f>
        <v>0</v>
      </c>
      <c r="G21" s="51"/>
    </row>
    <row r="22" spans="2:7" ht="15" thickBot="1" x14ac:dyDescent="0.35">
      <c r="B22" s="52">
        <f>G3</f>
        <v>0</v>
      </c>
      <c r="C22" s="53"/>
      <c r="D22" s="53"/>
      <c r="E22" s="53"/>
      <c r="F22" s="53"/>
      <c r="G22" s="54">
        <f>Sigmoide5</f>
        <v>0.99623122723863378</v>
      </c>
    </row>
    <row r="23" spans="2:7" x14ac:dyDescent="0.3">
      <c r="B23" s="45"/>
      <c r="C23" s="45"/>
      <c r="D23" s="45"/>
      <c r="E23" s="45"/>
      <c r="F23" s="45"/>
      <c r="G23" s="45"/>
    </row>
  </sheetData>
  <sheetProtection algorithmName="SHA-512" hashValue="Z+jysTkY8AHFUakh0RZwftl/roMlc8lL1qti5b5IU9dA3vhQ0YTnG1tr86tbAKM/l6CJgVUnBFozoHcltaWTJA==" saltValue="BTpJ9I0t/MGnTQY+RAFV1g==" spinCount="100000" sheet="1" objects="1" scenarios="1"/>
  <conditionalFormatting sqref="B4:G7 B3 B8:F8">
    <cfRule type="colorScale" priority="24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6">
      <colorScale>
        <cfvo type="min"/>
        <cfvo type="max"/>
        <color rgb="FFF8696B"/>
        <color rgb="FFFCFCFF"/>
      </colorScale>
    </cfRule>
  </conditionalFormatting>
  <conditionalFormatting sqref="B10"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7:G17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3:G3"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0:G10">
    <cfRule type="colorScale" priority="2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8:B22">
    <cfRule type="colorScale" priority="17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8">
      <colorScale>
        <cfvo type="min"/>
        <cfvo type="max"/>
        <color rgb="FFF8696B"/>
        <color rgb="FFFCFCFF"/>
      </colorScale>
    </cfRule>
  </conditionalFormatting>
  <conditionalFormatting sqref="G8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2">
      <colorScale>
        <cfvo type="min"/>
        <cfvo type="max"/>
        <color rgb="FFF8696B"/>
        <color rgb="FFFCFCFF"/>
      </colorScale>
    </cfRule>
  </conditionalFormatting>
  <conditionalFormatting sqref="C11:G14 C15:F15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0">
      <colorScale>
        <cfvo type="min"/>
        <cfvo type="max"/>
        <color rgb="FFF8696B"/>
        <color rgb="FFFCFCFF"/>
      </colorScale>
    </cfRule>
  </conditionalFormatting>
  <conditionalFormatting sqref="G15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8">
      <colorScale>
        <cfvo type="min"/>
        <cfvo type="max"/>
        <color rgb="FFF8696B"/>
        <color rgb="FFFCFCFF"/>
      </colorScale>
    </cfRule>
  </conditionalFormatting>
  <conditionalFormatting sqref="C18:G21 C22:F2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8696B"/>
        <color rgb="FFFCFCFF"/>
      </colorScale>
    </cfRule>
  </conditionalFormatting>
  <conditionalFormatting sqref="G2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8696B"/>
        <color rgb="FFFCFCFF"/>
      </colorScale>
    </cfRule>
  </conditionalFormatting>
  <conditionalFormatting sqref="B11:B1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45</vt:i4>
      </vt:variant>
    </vt:vector>
  </HeadingPairs>
  <TitlesOfParts>
    <vt:vector size="47" baseType="lpstr">
      <vt:lpstr>Hoja1</vt:lpstr>
      <vt:lpstr>Hoja2</vt:lpstr>
      <vt:lpstr>Ajuste1</vt:lpstr>
      <vt:lpstr>Ajuste2</vt:lpstr>
      <vt:lpstr>Ajuste3</vt:lpstr>
      <vt:lpstr>Ajuste4</vt:lpstr>
      <vt:lpstr>Bias</vt:lpstr>
      <vt:lpstr>Derivada1</vt:lpstr>
      <vt:lpstr>Derivada2</vt:lpstr>
      <vt:lpstr>Derivada3</vt:lpstr>
      <vt:lpstr>Derivada4</vt:lpstr>
      <vt:lpstr>Error1</vt:lpstr>
      <vt:lpstr>Error2</vt:lpstr>
      <vt:lpstr>Error3</vt:lpstr>
      <vt:lpstr>Error4</vt:lpstr>
      <vt:lpstr>Funcion1</vt:lpstr>
      <vt:lpstr>Funcion2</vt:lpstr>
      <vt:lpstr>Funcion3</vt:lpstr>
      <vt:lpstr>Funcion4</vt:lpstr>
      <vt:lpstr>Funcion5</vt:lpstr>
      <vt:lpstr>Input11</vt:lpstr>
      <vt:lpstr>Input12</vt:lpstr>
      <vt:lpstr>Input13</vt:lpstr>
      <vt:lpstr>Input21</vt:lpstr>
      <vt:lpstr>Input22</vt:lpstr>
      <vt:lpstr>Input23</vt:lpstr>
      <vt:lpstr>Input31</vt:lpstr>
      <vt:lpstr>Input32</vt:lpstr>
      <vt:lpstr>Input33</vt:lpstr>
      <vt:lpstr>Input41</vt:lpstr>
      <vt:lpstr>Input42</vt:lpstr>
      <vt:lpstr>Input43</vt:lpstr>
      <vt:lpstr>Input51</vt:lpstr>
      <vt:lpstr>Input52</vt:lpstr>
      <vt:lpstr>Input53</vt:lpstr>
      <vt:lpstr>Output1</vt:lpstr>
      <vt:lpstr>Output2</vt:lpstr>
      <vt:lpstr>Output3</vt:lpstr>
      <vt:lpstr>Output4</vt:lpstr>
      <vt:lpstr>Peso1</vt:lpstr>
      <vt:lpstr>Peso2</vt:lpstr>
      <vt:lpstr>Peso3</vt:lpstr>
      <vt:lpstr>Sigmoide1</vt:lpstr>
      <vt:lpstr>Sigmoide2</vt:lpstr>
      <vt:lpstr>Sigmoide3</vt:lpstr>
      <vt:lpstr>Sigmoide4</vt:lpstr>
      <vt:lpstr>Sigmoide5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Martinez</dc:creator>
  <cp:lastModifiedBy>Antonio Martinez</cp:lastModifiedBy>
  <dcterms:created xsi:type="dcterms:W3CDTF">2019-05-09T17:17:25Z</dcterms:created>
  <dcterms:modified xsi:type="dcterms:W3CDTF">2021-08-25T04:24:47Z</dcterms:modified>
</cp:coreProperties>
</file>